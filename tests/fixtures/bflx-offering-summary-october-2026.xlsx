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BFLX Leasing\Asset Sale Processes\Tranche 2\OM for Distro\"/>
    </mc:Choice>
  </mc:AlternateContent>
  <bookViews>
    <workbookView xWindow="25017" yWindow="-118" windowWidth="25370" windowHeight="13667" activeTab="0"/>
  </bookViews>
  <sheets>
    <sheet name="BFLX Offering Summary Oct 2026" sheetId="4" r:id="rId3"/>
  </sheets>
  <definedNames>
    <definedName name="_xlnm._FilterDatabase" localSheetId="0" hidden="1">'BFLX Offering Summary Oct 2026'!$A$2:$O$2</definedName>
    <definedName name="_Hlk210949875" localSheetId="0">'BFLX Offering Summary Oct 2026'!$I$3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</calcChain>
</file>

<file path=xl/sharedStrings.xml><?xml version="1.0" encoding="utf-8"?>
<sst xmlns="http://schemas.openxmlformats.org/spreadsheetml/2006/main" count="206" uniqueCount="95">
  <si>
    <t>Yes</t>
  </si>
  <si>
    <t>Lessee</t>
  </si>
  <si>
    <t>Cars</t>
  </si>
  <si>
    <t>Commodity</t>
  </si>
  <si>
    <t>Average Build Year</t>
  </si>
  <si>
    <t>Company Description</t>
  </si>
  <si>
    <t>Equipment Description</t>
  </si>
  <si>
    <t>Expiration</t>
  </si>
  <si>
    <t>C114</t>
  </si>
  <si>
    <t>C214</t>
  </si>
  <si>
    <t>Deal</t>
  </si>
  <si>
    <t>Page</t>
  </si>
  <si>
    <t>Class I Railroad</t>
  </si>
  <si>
    <t>Lessee Country</t>
  </si>
  <si>
    <t>U.S.</t>
  </si>
  <si>
    <t>Petrochemical Manufacturer</t>
  </si>
  <si>
    <t>AAR Code</t>
  </si>
  <si>
    <t>Lease Rate</t>
  </si>
  <si>
    <t>Grain</t>
  </si>
  <si>
    <t>Plastic pellets</t>
  </si>
  <si>
    <t>S&amp;P / Moody's Ratings</t>
  </si>
  <si>
    <t>No</t>
  </si>
  <si>
    <t>A / A2</t>
  </si>
  <si>
    <t>BBB- / NR</t>
  </si>
  <si>
    <t>BB+ / Ba1</t>
  </si>
  <si>
    <t>NR / NR</t>
  </si>
  <si>
    <t>AA- / Aa2</t>
  </si>
  <si>
    <t>BBB+ / A3</t>
  </si>
  <si>
    <t>Bagged cement</t>
  </si>
  <si>
    <t>Cement</t>
  </si>
  <si>
    <t>Scrap metal</t>
  </si>
  <si>
    <t>Aggregates</t>
  </si>
  <si>
    <t>Tailings</t>
  </si>
  <si>
    <t>G519</t>
  </si>
  <si>
    <t>52'6" mill gondolas w/ 5'6" sides, 286k GRL</t>
  </si>
  <si>
    <t>Cement Producer</t>
  </si>
  <si>
    <t>3,230 cu. ft. pressure differential covered hoppers, 286k GRL</t>
  </si>
  <si>
    <t>C612</t>
  </si>
  <si>
    <t>Agricultural Merchandiser</t>
  </si>
  <si>
    <t>Steel Products Manufacturer</t>
  </si>
  <si>
    <t>Intergrated Energy Company</t>
  </si>
  <si>
    <t>Aggregates Producer</t>
  </si>
  <si>
    <t>Soybean Processor</t>
  </si>
  <si>
    <t>Building Materials Producer</t>
  </si>
  <si>
    <t>T108</t>
  </si>
  <si>
    <t>A203</t>
  </si>
  <si>
    <t>G719</t>
  </si>
  <si>
    <t>E737</t>
  </si>
  <si>
    <t>E534</t>
  </si>
  <si>
    <t>H350</t>
  </si>
  <si>
    <t>6,241 cu. ft. lined covered hoppers with pneumatic gates, 286K GRL</t>
  </si>
  <si>
    <t>2,400 cu. ft. open top hoppers, 286k GRL</t>
  </si>
  <si>
    <t>5,400 cu. ft. covered hoppers with gravity gates, 286k GRL</t>
  </si>
  <si>
    <t>Ingredients Manufacturer</t>
  </si>
  <si>
    <t>BBB / Baa1</t>
  </si>
  <si>
    <t>C614</t>
  </si>
  <si>
    <t>Corn starch</t>
  </si>
  <si>
    <t>Corn syrup</t>
  </si>
  <si>
    <t>A</t>
  </si>
  <si>
    <t>B</t>
  </si>
  <si>
    <t>D</t>
  </si>
  <si>
    <t>G</t>
  </si>
  <si>
    <t>H</t>
  </si>
  <si>
    <t>I</t>
  </si>
  <si>
    <t>J</t>
  </si>
  <si>
    <t>K</t>
  </si>
  <si>
    <t>L</t>
  </si>
  <si>
    <t>M</t>
  </si>
  <si>
    <t>40’ Plate C boxcars with double sliding doors, 286k GRL</t>
  </si>
  <si>
    <t>5,000 cu. ft. lined pressure differential covered hoppers, 286k GRL</t>
  </si>
  <si>
    <t>5,001 cu. ft. lined pressure differential covered hoppers, 263k GRL</t>
  </si>
  <si>
    <t>66' mill gondolas w/ 6' sides, 286k GRL</t>
  </si>
  <si>
    <t>64'6" mill gondolas w/ 10'10" sides, 286k GRL</t>
  </si>
  <si>
    <t>T104</t>
  </si>
  <si>
    <t>Tallow oil</t>
  </si>
  <si>
    <t>5,250 cu. ft. lined covered hoppers with pneumatic gates, 286K GRL</t>
  </si>
  <si>
    <t>3a</t>
  </si>
  <si>
    <t>3b</t>
  </si>
  <si>
    <t>3c</t>
  </si>
  <si>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Deal 3 is a single, indivisible rider containing three car groups.</t>
    </r>
  </si>
  <si>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Lessees E and F share a common ultimate parent and guarantor. Bids for all five Deals are preferred.</t>
    </r>
  </si>
  <si>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Denotes credit rating of parent company.</t>
    </r>
  </si>
  <si>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 xml:space="preserve"> Additional country-specific taxes may apply.</t>
    </r>
  </si>
  <si>
    <r>
      <t xml:space="preserve">C </t>
    </r>
    <r>
      <rPr>
        <vertAlign val="superscript"/>
        <sz val="12"/>
        <color theme="1"/>
        <rFont val="Times New Roman"/>
        <family val="1"/>
      </rPr>
      <t>1</t>
    </r>
  </si>
  <si>
    <r>
      <t xml:space="preserve">E </t>
    </r>
    <r>
      <rPr>
        <vertAlign val="superscript"/>
        <sz val="12"/>
        <color theme="1"/>
        <rFont val="Times New Roman"/>
        <family val="1"/>
      </rPr>
      <t>2</t>
    </r>
  </si>
  <si>
    <r>
      <t xml:space="preserve">F </t>
    </r>
    <r>
      <rPr>
        <vertAlign val="superscript"/>
        <sz val="12"/>
        <color theme="1"/>
        <rFont val="Times New Roman"/>
        <family val="1"/>
      </rPr>
      <t>2</t>
    </r>
  </si>
  <si>
    <r>
      <t xml:space="preserve">BB+ / Ba1 </t>
    </r>
    <r>
      <rPr>
        <vertAlign val="superscript"/>
        <sz val="12"/>
        <color theme="1"/>
        <rFont val="Times New Roman"/>
        <family val="1"/>
      </rPr>
      <t>3</t>
    </r>
  </si>
  <si>
    <r>
      <t xml:space="preserve">BB+ / NR </t>
    </r>
    <r>
      <rPr>
        <vertAlign val="superscript"/>
        <sz val="12"/>
        <color theme="1"/>
        <rFont val="Times New Roman"/>
        <family val="1"/>
      </rPr>
      <t>3</t>
    </r>
  </si>
  <si>
    <r>
      <t xml:space="preserve">BBB+ / NR </t>
    </r>
    <r>
      <rPr>
        <vertAlign val="superscript"/>
        <sz val="12"/>
        <color theme="1"/>
        <rFont val="Times New Roman"/>
        <family val="1"/>
      </rPr>
      <t>3</t>
    </r>
  </si>
  <si>
    <r>
      <t xml:space="preserve">BBB+ / Baa1 </t>
    </r>
    <r>
      <rPr>
        <vertAlign val="superscript"/>
        <sz val="12"/>
        <color theme="1"/>
        <rFont val="Times New Roman"/>
        <family val="1"/>
      </rPr>
      <t>3</t>
    </r>
  </si>
  <si>
    <r>
      <t xml:space="preserve">Mexico </t>
    </r>
    <r>
      <rPr>
        <vertAlign val="superscript"/>
        <sz val="12"/>
        <color theme="1"/>
        <rFont val="Times New Roman"/>
        <family val="1"/>
      </rPr>
      <t>4</t>
    </r>
  </si>
  <si>
    <r>
      <t xml:space="preserve">Fixed Option </t>
    </r>
    <r>
      <rPr>
        <b/>
        <vertAlign val="superscript"/>
        <sz val="12"/>
        <color theme="1"/>
        <rFont val="Times New Roman"/>
        <family val="1"/>
      </rPr>
      <t>5</t>
    </r>
  </si>
  <si>
    <r>
      <rPr>
        <vertAlign val="superscript"/>
        <sz val="12"/>
        <color theme="1"/>
        <rFont val="Times New Roman"/>
        <family val="1"/>
      </rPr>
      <t>5</t>
    </r>
    <r>
      <rPr>
        <sz val="12"/>
        <color theme="1"/>
        <rFont val="Times New Roman"/>
        <family val="1"/>
      </rPr>
      <t xml:space="preserve"> Denotes whether the lease contains a fixed price purchase option.</t>
    </r>
  </si>
  <si>
    <t>29,000 gal. AAR211A100W1, exterior coiled, insulated, 286k GRL</t>
  </si>
  <si>
    <t>17,500 gal. DOT111A100W1, non-coiled, non-insulated, 263k GRL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</si>
</sst>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</border>
    <border>
      <left/>
      <right/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>
      <alignment/>
    </xf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>
      <alignment/>
    </xf>
    <xf numFmtId="41" fontId="1" fillId="0" borderId="0" applyFont="0" applyFill="0" applyBorder="0" applyAlignment="0" applyProtection="0"/>
    <xf numFmtId="0" fontId="7" fillId="0" borderId="0">
      <alignment/>
      <protection/>
    </xf>
  </cellStyleXfs>
  <cellXfs count="34">
    <xf numFmtId="0" fontId="0" fillId="0" borderId="0" xfId="0">
      <alignment/>
    </xf>
    <xf numFmtId="0" fontId="2" fillId="0" borderId="0" xfId="0" applyFont="1">
      <alignment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3" fontId="5" fillId="0" borderId="0" xfId="4" applyNumberFormat="1" applyFont="1" applyAlignment="1">
      <alignment horizontal="center"/>
    </xf>
    <xf numFmtId="0" fontId="5" fillId="0" borderId="0" xfId="0" applyFont="1">
      <alignment/>
    </xf>
    <xf numFmtId="0" fontId="5" fillId="0" borderId="1" xfId="0" applyFont="1" applyBorder="1" applyAlignment="1">
      <alignment horizontal="center"/>
    </xf>
    <xf numFmtId="3" fontId="5" fillId="0" borderId="1" xfId="4" applyNumberFormat="1" applyFont="1" applyBorder="1" applyAlignment="1">
      <alignment horizontal="center"/>
    </xf>
    <xf numFmtId="0" fontId="5" fillId="0" borderId="1" xfId="0" applyFont="1" applyBorder="1">
      <alignment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center"/>
    </xf>
    <xf numFmtId="14" fontId="5" fillId="0" borderId="2" xfId="0" applyNumberFormat="1" applyFont="1" applyBorder="1">
      <alignment/>
    </xf>
    <xf numFmtId="39" fontId="5" fillId="0" borderId="2" xfId="2" applyNumberFormat="1" applyFont="1" applyFill="1" applyBorder="1">
      <alignment/>
    </xf>
    <xf numFmtId="0" fontId="5" fillId="0" borderId="3" xfId="0" applyFont="1" applyBorder="1" applyAlignment="1">
      <alignment horizontal="center"/>
    </xf>
    <xf numFmtId="0" fontId="5" fillId="0" borderId="2" xfId="0" applyFont="1" applyBorder="1">
      <alignment/>
    </xf>
    <xf numFmtId="0" fontId="3" fillId="0" borderId="1" xfId="0" applyFont="1" applyBorder="1" applyAlignment="1">
      <alignment horizontal="center" vertical="center"/>
    </xf>
    <xf numFmtId="0" fontId="2" fillId="0" borderId="0" xfId="0" applyFont="1" applyProtection="1">
      <alignment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alignment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Protection="1">
      <alignment/>
      <protection locked="0"/>
    </xf>
    <xf numFmtId="39" fontId="5" fillId="0" borderId="2" xfId="2" applyNumberFormat="1" applyFont="1" applyFill="1" applyBorder="1" applyProtection="1">
      <alignment/>
      <protection locked="0"/>
    </xf>
    <xf numFmtId="14" fontId="5" fillId="0" borderId="2" xfId="0" applyNumberFormat="1" applyFont="1" applyBorder="1" applyProtection="1">
      <alignment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3" fontId="5" fillId="0" borderId="0" xfId="4" applyNumberFormat="1" applyFont="1" applyAlignment="1" applyProtection="1">
      <alignment horizontal="center"/>
      <protection locked="0"/>
    </xf>
    <xf numFmtId="0" fontId="5" fillId="0" borderId="0" xfId="0" applyFont="1" applyProtection="1">
      <alignment/>
      <protection locked="0"/>
    </xf>
    <xf numFmtId="0" fontId="5" fillId="0" borderId="1" xfId="0" applyFont="1" applyBorder="1" applyAlignment="1" applyProtection="1">
      <alignment horizontal="center"/>
      <protection locked="0"/>
    </xf>
    <xf numFmtId="3" fontId="5" fillId="0" borderId="1" xfId="4" applyNumberFormat="1" applyFont="1" applyBorder="1" applyAlignment="1" applyProtection="1">
      <alignment horizontal="center"/>
      <protection locked="0"/>
    </xf>
    <xf numFmtId="0" fontId="5" fillId="0" borderId="1" xfId="0" applyFont="1" applyBorder="1" applyProtection="1">
      <alignment/>
      <protection locked="0"/>
    </xf>
    <xf numFmtId="0" fontId="5" fillId="0" borderId="0" xfId="0" applyFont="1" applyAlignment="1" applyProtection="1">
      <alignment horizontal="left"/>
      <protection locked="0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 /><Relationship Id="rId3" Type="http://schemas.openxmlformats.org/officeDocument/2006/relationships/printerSettings" Target="../printerSettings/printerSettings1.bin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79E4E7-8526-4A9B-BD44-05A5920C8F97}">
  <sheetPr>
    <pageSetUpPr fitToPage="1"/>
  </sheetPr>
  <dimension ref="A2:O33"/>
  <sheetViews>
    <sheetView showGridLines="0" tabSelected="1" zoomScale="80" zoomScaleNormal="80" workbookViewId="0" topLeftCell="A1">
      <pane ySplit="2" topLeftCell="A3" activePane="bottomLeft" state="frozen"/>
      <selection pane="topLeft" activeCell="A1" sqref="A1"/>
      <selection pane="bottomLeft" activeCell="A1" sqref="A1"/>
    </sheetView>
  </sheetViews>
  <sheetFormatPr defaultColWidth="8.88428571428571" defaultRowHeight="13.75" customHeight="1"/>
  <cols>
    <col min="1" max="1" width="2.85714285714286" style="17" customWidth="1"/>
    <col min="2" max="4" width="6.71428571428571" style="18" customWidth="1"/>
    <col min="5" max="5" width="28.7142857142857" style="18" customWidth="1"/>
    <col min="6" max="6" width="15.7142857142857" style="18" customWidth="1"/>
    <col min="7" max="7" width="10.7142857142857" style="18" customWidth="1"/>
    <col min="8" max="8" width="8.71428571428571" style="18" customWidth="1"/>
    <col min="9" max="9" width="62.7142857142857" style="17" customWidth="1"/>
    <col min="10" max="10" width="8.71428571428571" style="17" customWidth="1"/>
    <col min="11" max="11" width="11.7142857142857" style="18" customWidth="1"/>
    <col min="12" max="12" width="16.7142857142857" style="18" customWidth="1"/>
    <col min="13" max="13" width="8.71428571428571" style="18" customWidth="1"/>
    <col min="14" max="14" width="8.71428571428571" style="17" customWidth="1"/>
    <col min="15" max="15" width="11.2857142857143" style="17" bestFit="1" customWidth="1"/>
    <col min="16" max="16" width="8.85714285714286" style="17"/>
    <col min="17" max="16384" width="8.85714285714286" style="17"/>
  </cols>
  <sheetData>
    <row r="1" ht="14.4"/>
    <row r="2" spans="2:15" ht="33.4">
      <c r="B2" s="20" t="s">
        <v>10</v>
      </c>
      <c r="C2" s="20" t="s">
        <v>1</v>
      </c>
      <c r="D2" s="20" t="s">
        <v>11</v>
      </c>
      <c r="E2" s="20" t="s">
        <v>5</v>
      </c>
      <c r="F2" s="21" t="s">
        <v>20</v>
      </c>
      <c r="G2" s="21" t="s">
        <v>13</v>
      </c>
      <c r="H2" s="20" t="s">
        <v>2</v>
      </c>
      <c r="I2" s="20" t="s">
        <v>6</v>
      </c>
      <c r="J2" s="21" t="s">
        <v>16</v>
      </c>
      <c r="K2" s="21" t="s">
        <v>4</v>
      </c>
      <c r="L2" s="20" t="s">
        <v>3</v>
      </c>
      <c r="M2" s="21" t="s">
        <v>91</v>
      </c>
      <c r="N2" s="21" t="s">
        <v>17</v>
      </c>
      <c r="O2" s="20" t="s">
        <v>7</v>
      </c>
    </row>
    <row r="3" spans="1:15" ht="17.2" customHeight="1">
      <c r="A3" s="18"/>
      <c r="B3" s="22">
        <v>1</v>
      </c>
      <c r="C3" s="22" t="s">
        <v>58</v>
      </c>
      <c r="D3" s="22">
        <v>9</v>
      </c>
      <c r="E3" s="22" t="s">
        <v>43</v>
      </c>
      <c r="F3" s="22" t="s">
        <v>23</v>
      </c>
      <c r="G3" s="22" t="s">
        <v>90</v>
      </c>
      <c r="H3" s="22">
        <v>98</v>
      </c>
      <c r="I3" s="23" t="s">
        <v>68</v>
      </c>
      <c r="J3" s="22" t="s">
        <v>45</v>
      </c>
      <c r="K3" s="22">
        <v>2018</v>
      </c>
      <c r="L3" s="22" t="s">
        <v>28</v>
      </c>
      <c r="M3" s="22" t="s">
        <v>0</v>
      </c>
      <c r="N3" s="24">
        <v>576.89</v>
      </c>
      <c r="O3" s="25">
        <v>50586</v>
      </c>
    </row>
    <row r="4" spans="1:15" ht="17.2" customHeight="1">
      <c r="A4" s="18"/>
      <c r="B4" s="22">
        <v>2</v>
      </c>
      <c r="C4" s="22" t="s">
        <v>59</v>
      </c>
      <c r="D4" s="22">
        <v>12</v>
      </c>
      <c r="E4" s="22" t="s">
        <v>42</v>
      </c>
      <c r="F4" s="22" t="s">
        <v>25</v>
      </c>
      <c r="G4" s="22" t="s">
        <v>14</v>
      </c>
      <c r="H4" s="22">
        <v>84</v>
      </c>
      <c r="I4" s="23" t="s">
        <v>52</v>
      </c>
      <c r="J4" s="22" t="s">
        <v>8</v>
      </c>
      <c r="K4" s="22">
        <v>1999</v>
      </c>
      <c r="L4" s="22" t="s">
        <v>18</v>
      </c>
      <c r="M4" s="22" t="s">
        <v>21</v>
      </c>
      <c r="N4" s="24">
        <v>475</v>
      </c>
      <c r="O4" s="25">
        <v>47483</v>
      </c>
    </row>
    <row r="5" spans="1:15" ht="17.2" customHeight="1">
      <c r="A5" s="18"/>
      <c r="B5" s="22" t="s">
        <v>76</v>
      </c>
      <c r="C5" s="22" t="s">
        <v>83</v>
      </c>
      <c r="D5" s="22">
        <v>16</v>
      </c>
      <c r="E5" s="22" t="s">
        <v>15</v>
      </c>
      <c r="F5" s="22" t="s">
        <v>86</v>
      </c>
      <c r="G5" s="22" t="s">
        <v>14</v>
      </c>
      <c r="H5" s="22">
        <v>48</v>
      </c>
      <c r="I5" s="23" t="s">
        <v>75</v>
      </c>
      <c r="J5" s="22" t="s">
        <v>9</v>
      </c>
      <c r="K5" s="22">
        <v>1996</v>
      </c>
      <c r="L5" s="22" t="s">
        <v>19</v>
      </c>
      <c r="M5" s="22" t="s">
        <v>0</v>
      </c>
      <c r="N5" s="24">
        <v>97.65</v>
      </c>
      <c r="O5" s="25">
        <v>47208</v>
      </c>
    </row>
    <row r="6" spans="1:15" ht="17.2" customHeight="1">
      <c r="A6" s="18"/>
      <c r="B6" s="22" t="s">
        <v>77</v>
      </c>
      <c r="C6" s="22" t="s">
        <v>83</v>
      </c>
      <c r="D6" s="22">
        <v>16</v>
      </c>
      <c r="E6" s="22" t="s">
        <v>15</v>
      </c>
      <c r="F6" s="22" t="s">
        <v>86</v>
      </c>
      <c r="G6" s="22" t="s">
        <v>14</v>
      </c>
      <c r="H6" s="22">
        <v>98</v>
      </c>
      <c r="I6" s="23" t="s">
        <v>75</v>
      </c>
      <c r="J6" s="22" t="s">
        <v>9</v>
      </c>
      <c r="K6" s="22">
        <v>2000</v>
      </c>
      <c r="L6" s="22" t="s">
        <v>19</v>
      </c>
      <c r="M6" s="22" t="s">
        <v>0</v>
      </c>
      <c r="N6" s="24">
        <v>133.91999999999999</v>
      </c>
      <c r="O6" s="25">
        <v>47208</v>
      </c>
    </row>
    <row r="7" spans="1:15" ht="17.2" customHeight="1">
      <c r="A7" s="18"/>
      <c r="B7" s="22" t="s">
        <v>78</v>
      </c>
      <c r="C7" s="22" t="s">
        <v>83</v>
      </c>
      <c r="D7" s="22">
        <v>16</v>
      </c>
      <c r="E7" s="22" t="s">
        <v>15</v>
      </c>
      <c r="F7" s="22" t="s">
        <v>86</v>
      </c>
      <c r="G7" s="22" t="s">
        <v>14</v>
      </c>
      <c r="H7" s="22">
        <v>373</v>
      </c>
      <c r="I7" s="23" t="s">
        <v>75</v>
      </c>
      <c r="J7" s="22" t="s">
        <v>9</v>
      </c>
      <c r="K7" s="22">
        <v>2006</v>
      </c>
      <c r="L7" s="22" t="s">
        <v>19</v>
      </c>
      <c r="M7" s="22" t="s">
        <v>0</v>
      </c>
      <c r="N7" s="24">
        <v>304.60000000000002</v>
      </c>
      <c r="O7" s="25">
        <v>47208</v>
      </c>
    </row>
    <row r="8" spans="1:15" ht="17.2" customHeight="1">
      <c r="A8" s="18"/>
      <c r="B8" s="22">
        <v>4</v>
      </c>
      <c r="C8" s="22" t="s">
        <v>60</v>
      </c>
      <c r="D8" s="22">
        <v>21</v>
      </c>
      <c r="E8" s="22" t="s">
        <v>40</v>
      </c>
      <c r="F8" s="22" t="s">
        <v>26</v>
      </c>
      <c r="G8" s="22" t="s">
        <v>14</v>
      </c>
      <c r="H8" s="22">
        <v>333</v>
      </c>
      <c r="I8" s="23" t="s">
        <v>50</v>
      </c>
      <c r="J8" s="22" t="s">
        <v>9</v>
      </c>
      <c r="K8" s="22">
        <v>2022</v>
      </c>
      <c r="L8" s="22" t="s">
        <v>19</v>
      </c>
      <c r="M8" s="22" t="s">
        <v>0</v>
      </c>
      <c r="N8" s="24">
        <v>684.59</v>
      </c>
      <c r="O8" s="25">
        <v>48152</v>
      </c>
    </row>
    <row r="9" spans="1:15" ht="17.2" customHeight="1">
      <c r="A9" s="18"/>
      <c r="B9" s="22">
        <v>5</v>
      </c>
      <c r="C9" s="22" t="s">
        <v>60</v>
      </c>
      <c r="D9" s="22">
        <v>25</v>
      </c>
      <c r="E9" s="22" t="s">
        <v>40</v>
      </c>
      <c r="F9" s="22" t="s">
        <v>26</v>
      </c>
      <c r="G9" s="22" t="s">
        <v>14</v>
      </c>
      <c r="H9" s="22">
        <v>333</v>
      </c>
      <c r="I9" s="23" t="s">
        <v>50</v>
      </c>
      <c r="J9" s="22" t="s">
        <v>9</v>
      </c>
      <c r="K9" s="22">
        <v>2023</v>
      </c>
      <c r="L9" s="22" t="s">
        <v>19</v>
      </c>
      <c r="M9" s="22" t="s">
        <v>0</v>
      </c>
      <c r="N9" s="24">
        <v>669.31</v>
      </c>
      <c r="O9" s="25">
        <v>49003</v>
      </c>
    </row>
    <row r="10" spans="1:15" ht="17.2" customHeight="1">
      <c r="A10" s="18"/>
      <c r="B10" s="22">
        <v>6</v>
      </c>
      <c r="C10" s="22" t="s">
        <v>84</v>
      </c>
      <c r="D10" s="22">
        <v>29</v>
      </c>
      <c r="E10" s="22" t="s">
        <v>35</v>
      </c>
      <c r="F10" s="22" t="s">
        <v>87</v>
      </c>
      <c r="G10" s="22" t="s">
        <v>14</v>
      </c>
      <c r="H10" s="22">
        <v>23</v>
      </c>
      <c r="I10" s="23" t="s">
        <v>36</v>
      </c>
      <c r="J10" s="22" t="s">
        <v>37</v>
      </c>
      <c r="K10" s="22">
        <v>2005</v>
      </c>
      <c r="L10" s="22" t="s">
        <v>29</v>
      </c>
      <c r="M10" s="22" t="s">
        <v>0</v>
      </c>
      <c r="N10" s="24">
        <v>437.07</v>
      </c>
      <c r="O10" s="25">
        <v>48029</v>
      </c>
    </row>
    <row r="11" spans="1:15" ht="17.2" customHeight="1">
      <c r="A11" s="18"/>
      <c r="B11" s="22">
        <v>7</v>
      </c>
      <c r="C11" s="22" t="s">
        <v>84</v>
      </c>
      <c r="D11" s="22">
        <v>32</v>
      </c>
      <c r="E11" s="22" t="s">
        <v>35</v>
      </c>
      <c r="F11" s="22" t="s">
        <v>87</v>
      </c>
      <c r="G11" s="22" t="s">
        <v>14</v>
      </c>
      <c r="H11" s="22">
        <v>31</v>
      </c>
      <c r="I11" s="23" t="s">
        <v>36</v>
      </c>
      <c r="J11" s="22" t="s">
        <v>37</v>
      </c>
      <c r="K11" s="22">
        <v>2003</v>
      </c>
      <c r="L11" s="22" t="s">
        <v>29</v>
      </c>
      <c r="M11" s="22" t="s">
        <v>0</v>
      </c>
      <c r="N11" s="24">
        <v>506.76</v>
      </c>
      <c r="O11" s="25">
        <v>47299</v>
      </c>
    </row>
    <row r="12" spans="1:15" ht="17.2" customHeight="1">
      <c r="A12" s="18"/>
      <c r="B12" s="22">
        <v>8</v>
      </c>
      <c r="C12" s="22" t="s">
        <v>84</v>
      </c>
      <c r="D12" s="22">
        <v>35</v>
      </c>
      <c r="E12" s="22" t="s">
        <v>35</v>
      </c>
      <c r="F12" s="22" t="s">
        <v>87</v>
      </c>
      <c r="G12" s="22" t="s">
        <v>14</v>
      </c>
      <c r="H12" s="22">
        <v>33</v>
      </c>
      <c r="I12" s="23" t="s">
        <v>36</v>
      </c>
      <c r="J12" s="22" t="s">
        <v>37</v>
      </c>
      <c r="K12" s="22">
        <v>2003</v>
      </c>
      <c r="L12" s="22" t="s">
        <v>29</v>
      </c>
      <c r="M12" s="22" t="s">
        <v>0</v>
      </c>
      <c r="N12" s="24">
        <v>608.86</v>
      </c>
      <c r="O12" s="25">
        <v>46568</v>
      </c>
    </row>
    <row r="13" spans="1:15" ht="17.2" customHeight="1">
      <c r="A13" s="18"/>
      <c r="B13" s="22">
        <v>9</v>
      </c>
      <c r="C13" s="22" t="s">
        <v>85</v>
      </c>
      <c r="D13" s="22">
        <v>38</v>
      </c>
      <c r="E13" s="22" t="s">
        <v>35</v>
      </c>
      <c r="F13" s="22" t="s">
        <v>87</v>
      </c>
      <c r="G13" s="22" t="s">
        <v>14</v>
      </c>
      <c r="H13" s="22">
        <v>40</v>
      </c>
      <c r="I13" s="23" t="s">
        <v>36</v>
      </c>
      <c r="J13" s="22" t="s">
        <v>37</v>
      </c>
      <c r="K13" s="22">
        <v>2003</v>
      </c>
      <c r="L13" s="22" t="s">
        <v>29</v>
      </c>
      <c r="M13" s="22" t="s">
        <v>0</v>
      </c>
      <c r="N13" s="24">
        <v>422.45</v>
      </c>
      <c r="O13" s="25">
        <v>48395</v>
      </c>
    </row>
    <row r="14" spans="1:15" ht="17.2" customHeight="1">
      <c r="A14" s="18"/>
      <c r="B14" s="22">
        <v>10</v>
      </c>
      <c r="C14" s="22" t="s">
        <v>85</v>
      </c>
      <c r="D14" s="22">
        <v>41</v>
      </c>
      <c r="E14" s="22" t="s">
        <v>35</v>
      </c>
      <c r="F14" s="22" t="s">
        <v>87</v>
      </c>
      <c r="G14" s="22" t="s">
        <v>14</v>
      </c>
      <c r="H14" s="22">
        <v>41</v>
      </c>
      <c r="I14" s="23" t="s">
        <v>36</v>
      </c>
      <c r="J14" s="22" t="s">
        <v>37</v>
      </c>
      <c r="K14" s="22">
        <v>2003</v>
      </c>
      <c r="L14" s="22" t="s">
        <v>29</v>
      </c>
      <c r="M14" s="22" t="s">
        <v>0</v>
      </c>
      <c r="N14" s="24">
        <v>506.76</v>
      </c>
      <c r="O14" s="25">
        <v>47299</v>
      </c>
    </row>
    <row r="15" spans="1:15" ht="17.2" customHeight="1">
      <c r="A15" s="18"/>
      <c r="B15" s="22">
        <v>11</v>
      </c>
      <c r="C15" s="22" t="s">
        <v>61</v>
      </c>
      <c r="D15" s="22">
        <v>44</v>
      </c>
      <c r="E15" s="22" t="s">
        <v>53</v>
      </c>
      <c r="F15" s="22" t="s">
        <v>54</v>
      </c>
      <c r="G15" s="22" t="s">
        <v>14</v>
      </c>
      <c r="H15" s="22">
        <v>22</v>
      </c>
      <c r="I15" s="23" t="s">
        <v>69</v>
      </c>
      <c r="J15" s="22" t="s">
        <v>55</v>
      </c>
      <c r="K15" s="22">
        <v>1996</v>
      </c>
      <c r="L15" s="22" t="s">
        <v>56</v>
      </c>
      <c r="M15" s="22" t="s">
        <v>21</v>
      </c>
      <c r="N15" s="24">
        <v>540</v>
      </c>
      <c r="O15" s="25">
        <v>47391</v>
      </c>
    </row>
    <row r="16" spans="1:15" ht="17.2" customHeight="1">
      <c r="A16" s="18"/>
      <c r="B16" s="22">
        <v>12</v>
      </c>
      <c r="C16" s="22" t="s">
        <v>61</v>
      </c>
      <c r="D16" s="22">
        <v>47</v>
      </c>
      <c r="E16" s="22" t="s">
        <v>53</v>
      </c>
      <c r="F16" s="22" t="s">
        <v>54</v>
      </c>
      <c r="G16" s="22" t="s">
        <v>14</v>
      </c>
      <c r="H16" s="22">
        <v>41</v>
      </c>
      <c r="I16" s="23" t="s">
        <v>70</v>
      </c>
      <c r="J16" s="22" t="s">
        <v>55</v>
      </c>
      <c r="K16" s="22">
        <v>1992</v>
      </c>
      <c r="L16" s="22" t="s">
        <v>56</v>
      </c>
      <c r="M16" s="22" t="s">
        <v>21</v>
      </c>
      <c r="N16" s="24">
        <v>490</v>
      </c>
      <c r="O16" s="25">
        <v>47391</v>
      </c>
    </row>
    <row r="17" spans="1:15" ht="17.2" customHeight="1">
      <c r="A17" s="18"/>
      <c r="B17" s="22">
        <v>13</v>
      </c>
      <c r="C17" s="22" t="s">
        <v>62</v>
      </c>
      <c r="D17" s="22">
        <v>50</v>
      </c>
      <c r="E17" s="22" t="s">
        <v>12</v>
      </c>
      <c r="F17" s="22" t="s">
        <v>27</v>
      </c>
      <c r="G17" s="22" t="s">
        <v>14</v>
      </c>
      <c r="H17" s="22">
        <v>290</v>
      </c>
      <c r="I17" s="23" t="s">
        <v>34</v>
      </c>
      <c r="J17" s="22" t="s">
        <v>33</v>
      </c>
      <c r="K17" s="22">
        <v>1981</v>
      </c>
      <c r="L17" s="22" t="s">
        <v>30</v>
      </c>
      <c r="M17" s="22" t="s">
        <v>21</v>
      </c>
      <c r="N17" s="24">
        <v>425</v>
      </c>
      <c r="O17" s="25">
        <v>48121</v>
      </c>
    </row>
    <row r="18" spans="1:15" ht="17.2" customHeight="1">
      <c r="A18" s="18"/>
      <c r="B18" s="22">
        <v>14</v>
      </c>
      <c r="C18" s="22" t="s">
        <v>62</v>
      </c>
      <c r="D18" s="22">
        <v>52</v>
      </c>
      <c r="E18" s="22" t="s">
        <v>12</v>
      </c>
      <c r="F18" s="22" t="s">
        <v>27</v>
      </c>
      <c r="G18" s="22" t="s">
        <v>14</v>
      </c>
      <c r="H18" s="22">
        <v>148</v>
      </c>
      <c r="I18" s="23" t="s">
        <v>34</v>
      </c>
      <c r="J18" s="22" t="s">
        <v>33</v>
      </c>
      <c r="K18" s="22">
        <v>1995</v>
      </c>
      <c r="L18" s="22" t="s">
        <v>30</v>
      </c>
      <c r="M18" s="22" t="s">
        <v>21</v>
      </c>
      <c r="N18" s="24">
        <v>475</v>
      </c>
      <c r="O18" s="25">
        <v>48121</v>
      </c>
    </row>
    <row r="19" spans="1:15" ht="17.2" customHeight="1">
      <c r="A19" s="18"/>
      <c r="B19" s="22">
        <v>15</v>
      </c>
      <c r="C19" s="22" t="s">
        <v>63</v>
      </c>
      <c r="D19" s="22">
        <v>55</v>
      </c>
      <c r="E19" s="22" t="s">
        <v>39</v>
      </c>
      <c r="F19" s="22" t="s">
        <v>24</v>
      </c>
      <c r="G19" s="22" t="s">
        <v>14</v>
      </c>
      <c r="H19" s="22">
        <v>198</v>
      </c>
      <c r="I19" s="23" t="s">
        <v>71</v>
      </c>
      <c r="J19" s="22" t="s">
        <v>46</v>
      </c>
      <c r="K19" s="22">
        <v>2019</v>
      </c>
      <c r="L19" s="22" t="s">
        <v>30</v>
      </c>
      <c r="M19" s="22" t="s">
        <v>0</v>
      </c>
      <c r="N19" s="24">
        <v>436.58</v>
      </c>
      <c r="O19" s="25">
        <v>48244</v>
      </c>
    </row>
    <row r="20" spans="1:15" ht="17.2" customHeight="1">
      <c r="A20" s="18"/>
      <c r="B20" s="22">
        <v>16</v>
      </c>
      <c r="C20" s="22" t="s">
        <v>63</v>
      </c>
      <c r="D20" s="22">
        <v>58</v>
      </c>
      <c r="E20" s="22" t="s">
        <v>39</v>
      </c>
      <c r="F20" s="22" t="s">
        <v>24</v>
      </c>
      <c r="G20" s="22" t="s">
        <v>14</v>
      </c>
      <c r="H20" s="22">
        <v>195</v>
      </c>
      <c r="I20" s="23" t="s">
        <v>71</v>
      </c>
      <c r="J20" s="22" t="s">
        <v>46</v>
      </c>
      <c r="K20" s="22">
        <v>2023</v>
      </c>
      <c r="L20" s="22" t="s">
        <v>30</v>
      </c>
      <c r="M20" s="22" t="s">
        <v>0</v>
      </c>
      <c r="N20" s="24">
        <v>675.51</v>
      </c>
      <c r="O20" s="25">
        <v>50770</v>
      </c>
    </row>
    <row r="21" spans="1:15" ht="17.2" customHeight="1">
      <c r="A21" s="18"/>
      <c r="B21" s="22">
        <v>17</v>
      </c>
      <c r="C21" s="22" t="s">
        <v>64</v>
      </c>
      <c r="D21" s="22">
        <v>62</v>
      </c>
      <c r="E21" s="22" t="s">
        <v>39</v>
      </c>
      <c r="F21" s="22" t="s">
        <v>25</v>
      </c>
      <c r="G21" s="22" t="s">
        <v>90</v>
      </c>
      <c r="H21" s="22">
        <v>231</v>
      </c>
      <c r="I21" s="23" t="s">
        <v>72</v>
      </c>
      <c r="J21" s="22" t="s">
        <v>47</v>
      </c>
      <c r="K21" s="22">
        <v>2016</v>
      </c>
      <c r="L21" s="22" t="s">
        <v>30</v>
      </c>
      <c r="M21" s="22" t="s">
        <v>0</v>
      </c>
      <c r="N21" s="24">
        <v>554.58000000000004</v>
      </c>
      <c r="O21" s="25">
        <v>47664</v>
      </c>
    </row>
    <row r="22" spans="1:15" ht="17.2" customHeight="1">
      <c r="A22" s="18"/>
      <c r="B22" s="22">
        <v>18</v>
      </c>
      <c r="C22" s="22" t="s">
        <v>65</v>
      </c>
      <c r="D22" s="22">
        <v>65</v>
      </c>
      <c r="E22" s="22" t="s">
        <v>12</v>
      </c>
      <c r="F22" s="22" t="s">
        <v>88</v>
      </c>
      <c r="G22" s="22" t="s">
        <v>90</v>
      </c>
      <c r="H22" s="22">
        <v>294</v>
      </c>
      <c r="I22" s="23" t="s">
        <v>34</v>
      </c>
      <c r="J22" s="22" t="s">
        <v>48</v>
      </c>
      <c r="K22" s="22">
        <v>1996</v>
      </c>
      <c r="L22" s="26" t="s">
        <v>32</v>
      </c>
      <c r="M22" s="22" t="s">
        <v>0</v>
      </c>
      <c r="N22" s="24">
        <v>420</v>
      </c>
      <c r="O22" s="25">
        <v>47026</v>
      </c>
    </row>
    <row r="23" spans="1:15" ht="17.2" customHeight="1">
      <c r="A23" s="18"/>
      <c r="B23" s="22">
        <v>19</v>
      </c>
      <c r="C23" s="22" t="s">
        <v>66</v>
      </c>
      <c r="D23" s="22">
        <v>68</v>
      </c>
      <c r="E23" s="22" t="s">
        <v>41</v>
      </c>
      <c r="F23" s="22" t="s">
        <v>89</v>
      </c>
      <c r="G23" s="22" t="s">
        <v>14</v>
      </c>
      <c r="H23" s="22">
        <v>220</v>
      </c>
      <c r="I23" s="23" t="s">
        <v>51</v>
      </c>
      <c r="J23" s="22" t="s">
        <v>49</v>
      </c>
      <c r="K23" s="22">
        <v>2008</v>
      </c>
      <c r="L23" s="26" t="s">
        <v>31</v>
      </c>
      <c r="M23" s="22" t="s">
        <v>0</v>
      </c>
      <c r="N23" s="24">
        <v>640.36</v>
      </c>
      <c r="O23" s="25">
        <v>49399</v>
      </c>
    </row>
    <row r="24" spans="1:15" ht="17.2" customHeight="1">
      <c r="A24" s="18"/>
      <c r="B24" s="22">
        <v>20</v>
      </c>
      <c r="C24" s="22" t="s">
        <v>67</v>
      </c>
      <c r="D24" s="22">
        <v>72</v>
      </c>
      <c r="E24" s="22" t="s">
        <v>38</v>
      </c>
      <c r="F24" s="22" t="s">
        <v>22</v>
      </c>
      <c r="G24" s="22" t="s">
        <v>14</v>
      </c>
      <c r="H24" s="22">
        <v>182</v>
      </c>
      <c r="I24" s="23" t="s">
        <v>93</v>
      </c>
      <c r="J24" s="22" t="s">
        <v>44</v>
      </c>
      <c r="K24" s="22">
        <v>2019</v>
      </c>
      <c r="L24" s="22" t="s">
        <v>74</v>
      </c>
      <c r="M24" s="22" t="s">
        <v>0</v>
      </c>
      <c r="N24" s="24">
        <v>558.99</v>
      </c>
      <c r="O24" s="25">
        <v>47087</v>
      </c>
    </row>
    <row r="25" spans="1:15" ht="17.2" customHeight="1">
      <c r="A25" s="18"/>
      <c r="B25" s="22">
        <v>21</v>
      </c>
      <c r="C25" s="22" t="s">
        <v>61</v>
      </c>
      <c r="D25" s="22">
        <v>75</v>
      </c>
      <c r="E25" s="22" t="s">
        <v>53</v>
      </c>
      <c r="F25" s="22" t="s">
        <v>54</v>
      </c>
      <c r="G25" s="22" t="s">
        <v>14</v>
      </c>
      <c r="H25" s="22">
        <v>94</v>
      </c>
      <c r="I25" s="23" t="s">
        <v>94</v>
      </c>
      <c r="J25" s="22" t="s">
        <v>73</v>
      </c>
      <c r="K25" s="22">
        <v>1997</v>
      </c>
      <c r="L25" s="22" t="s">
        <v>57</v>
      </c>
      <c r="M25" s="22" t="s">
        <v>21</v>
      </c>
      <c r="N25" s="24">
        <v>615</v>
      </c>
      <c r="O25" s="25">
        <v>47422</v>
      </c>
    </row>
    <row r="26" spans="2:15" ht="5.25" customHeight="1">
      <c r="B26" s="27"/>
      <c r="C26" s="27"/>
      <c r="D26" s="27"/>
      <c r="E26" s="27"/>
      <c r="F26" s="27"/>
      <c r="G26" s="27"/>
      <c r="H26" s="28"/>
      <c r="I26" s="29"/>
      <c r="J26" s="29"/>
      <c r="K26" s="27"/>
      <c r="L26" s="27"/>
      <c r="M26" s="27"/>
      <c r="N26" s="29"/>
      <c r="O26" s="29"/>
    </row>
    <row r="27" spans="2:15" ht="15.05">
      <c r="B27" s="30"/>
      <c r="C27" s="30"/>
      <c r="D27" s="30"/>
      <c r="E27" s="30"/>
      <c r="F27" s="30"/>
      <c r="G27" s="30"/>
      <c r="H27" s="31">
        <f>SUM(H3:H25)</f>
        <v>3450</v>
      </c>
      <c r="I27" s="32"/>
      <c r="J27" s="32"/>
      <c r="K27" s="30"/>
      <c r="L27" s="30"/>
      <c r="M27" s="30"/>
      <c r="N27" s="32"/>
      <c r="O27" s="32"/>
    </row>
    <row r="28" spans="2:15" ht="5.25" customHeight="1">
      <c r="B28" s="27"/>
      <c r="C28" s="27"/>
      <c r="D28" s="27"/>
      <c r="E28" s="27"/>
      <c r="F28" s="27"/>
      <c r="G28" s="27"/>
      <c r="H28" s="28"/>
      <c r="I28" s="29"/>
      <c r="J28" s="29"/>
      <c r="K28" s="27"/>
      <c r="L28" s="27"/>
      <c r="M28" s="27"/>
      <c r="N28" s="29"/>
      <c r="O28" s="29"/>
    </row>
    <row r="29" spans="2:15" ht="18.35" customHeight="1">
      <c r="B29" s="33" t="s">
        <v>79</v>
      </c>
      <c r="C29" s="27"/>
      <c r="D29" s="27"/>
      <c r="E29" s="27"/>
      <c r="F29" s="27"/>
      <c r="G29" s="27"/>
      <c r="H29" s="27"/>
      <c r="I29" s="29"/>
      <c r="J29" s="29"/>
      <c r="K29" s="27"/>
      <c r="L29" s="27"/>
      <c r="M29" s="27"/>
      <c r="N29" s="29"/>
      <c r="O29" s="29"/>
    </row>
    <row r="30" spans="2:13" ht="18.35" customHeight="1">
      <c r="B30" s="33" t="s">
        <v>80</v>
      </c>
      <c r="C30" s="27"/>
      <c r="D30" s="27"/>
      <c r="E30" s="27"/>
      <c r="F30" s="27"/>
      <c r="G30" s="27"/>
      <c r="H30" s="27"/>
      <c r="I30" s="29"/>
      <c r="J30" s="29"/>
      <c r="K30" s="27"/>
      <c r="L30" s="27"/>
      <c r="M30" s="27"/>
    </row>
    <row r="31" spans="2:15" ht="18.35" customHeight="1">
      <c r="B31" s="33" t="s">
        <v>81</v>
      </c>
      <c r="C31" s="27"/>
      <c r="D31" s="27"/>
      <c r="E31" s="27"/>
      <c r="F31" s="27"/>
      <c r="G31" s="27"/>
      <c r="H31" s="27"/>
      <c r="I31" s="29"/>
      <c r="J31" s="29"/>
      <c r="K31" s="27"/>
      <c r="L31" s="27"/>
      <c r="M31" s="27"/>
      <c r="N31" s="29"/>
      <c r="O31" s="29"/>
    </row>
    <row r="32" spans="2:2" ht="18.35">
      <c r="B32" s="29" t="s">
        <v>82</v>
      </c>
    </row>
    <row r="33" spans="2:2" ht="18.35">
      <c r="B33" s="33" t="s">
        <v>92</v>
      </c>
    </row>
  </sheetData>
  <sheetProtection sheet="1"/>
  <pageMargins left="0.7" right="0.7" top="0.75" bottom="0.75" header="0.3" footer="0.3"/>
  <pageSetup orientation="landscape" paperSize="1" scale="62" r:id="rId3"/>
  <headerFooter>
    <oddHeader>&amp;C&amp;G</oddHeader>
    <oddFooter>&amp;C&amp;G</oddFooter>
  </headerFooter>
  <legacyDrawingHF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BFLX Offering Summary Oct 2026</vt:lpstr>
    </vt:vector>
  </TitlesOfParts>
  <Template/>
  <Manager/>
  <Company>GATX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Goodfellow</dc:creator>
  <cp:keywords/>
  <dc:description/>
  <cp:lastModifiedBy>James Goodfellow</cp:lastModifiedBy>
  <cp:lastPrinted>2026-04-24T14:44:52Z</cp:lastPrinted>
  <dcterms:created xsi:type="dcterms:W3CDTF">2026-03-24T17:17:22Z</dcterms:created>
  <dcterms:modified xsi:type="dcterms:W3CDTF">2026-10-16T19:04:26Z</dcterms:modified>
  <cp:category/>
</cp:coreProperties>
</file>